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y laptop\Desktop\"/>
    </mc:Choice>
  </mc:AlternateContent>
  <xr:revisionPtr revIDLastSave="0" documentId="8_{6C669341-0E58-448C-8124-CE80E754731A}" xr6:coauthVersionLast="47" xr6:coauthVersionMax="47" xr10:uidLastSave="{00000000-0000-0000-0000-000000000000}"/>
  <bookViews>
    <workbookView xWindow="-110" yWindow="-110" windowWidth="19420" windowHeight="10300" xr2:uid="{72EDD415-FB76-4861-AC21-EC99335A3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1" l="1"/>
  <c r="L17" i="1"/>
  <c r="K17" i="1"/>
  <c r="L16" i="1"/>
  <c r="L18" i="1" s="1"/>
  <c r="J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sp mam</author>
    <author>tc={703D16A4-FAA8-4C6F-9DCE-2D0E1667BB9E}</author>
    <author>tc={8841AF7A-21FA-4003-87B4-A7721161A40E}</author>
  </authors>
  <commentList>
    <comment ref="C4" authorId="0" shapeId="0" xr:uid="{229BDAEB-4A3A-4C2D-8642-14CEE557085E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W.E.F 18 Dec'24
</t>
        </r>
      </text>
    </comment>
    <comment ref="D5" authorId="0" shapeId="0" xr:uid="{E45DD62E-5DA6-4379-A742-A53716B5DF74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till 7 Jan'24 4.72
till 19 Jun'25 5</t>
        </r>
      </text>
    </comment>
    <comment ref="D6" authorId="0" shapeId="0" xr:uid="{A9C77EF4-4801-479A-8DDA-70F0E0B8FBFB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till 7 Jan'25:- 5.9
till 31 Mar'25:- 6.49
</t>
        </r>
      </text>
    </comment>
    <comment ref="D7" authorId="0" shapeId="0" xr:uid="{58D080DD-4DDE-453A-8687-B7519A73A04D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apply from 5th May'25
</t>
        </r>
      </text>
    </comment>
    <comment ref="C21" authorId="0" shapeId="0" xr:uid="{7A03514F-AB65-44B6-93A9-BC334F0CD2B0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 till 16 Feb 2.5
</t>
        </r>
      </text>
    </comment>
    <comment ref="C22" authorId="0" shapeId="0" xr:uid="{17987860-2963-432C-A5F5-BEA29FA5F380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till 16 Feb 5.61
</t>
        </r>
      </text>
    </comment>
    <comment ref="C23" authorId="0" shapeId="0" xr:uid="{8D2CF4F4-531E-4BF2-B20E-4CAC5E232D8B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till 16 Feb 10</t>
        </r>
      </text>
    </comment>
    <comment ref="F28" authorId="1" shapeId="0" xr:uid="{703D16A4-FAA8-4C6F-9DCE-2D0E1667BB9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7th July</t>
      </text>
    </comment>
    <comment ref="D33" authorId="0" shapeId="0" xr:uid="{78E5F048-DA6D-4A90-AC77-166D80B30CB0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0.3 till 12th Apr'25</t>
        </r>
      </text>
    </comment>
    <comment ref="D34" authorId="0" shapeId="0" xr:uid="{031CB97F-E710-4FF2-B9A4-4CB41D8650C0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0.8 before 1st Mar after 7pm
0.9 1-18 Mar
1% from 18 Mar-12 Apr
1.47 without gst from 12 JuLy
</t>
        </r>
      </text>
    </comment>
    <comment ref="D39" authorId="0" shapeId="0" xr:uid="{7B154037-AC0F-4224-BEAA-C6E5BA0861CC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15th Mar</t>
        </r>
      </text>
    </comment>
    <comment ref="E39" authorId="2" shapeId="0" xr:uid="{8841AF7A-21FA-4003-87B4-A7721161A40E}">
      <text>
        <t>[Threaded comment]
Your version of Excel allows you to read this threaded comment; however, any edits to it will get removed if the file is opened in a newer version of Excel. Learn more: https://go.microsoft.com/fwlink/?linkid=870924
Comment:
    8th July</t>
      </text>
    </comment>
    <comment ref="D43" authorId="0" shapeId="0" xr:uid="{C8BF6148-5EEF-48F2-9AED-01671A8E3737}">
      <text>
        <r>
          <rPr>
            <b/>
            <sz val="9"/>
            <color indexed="81"/>
            <rFont val="Tahoma"/>
            <family val="2"/>
          </rPr>
          <t>sp mam:</t>
        </r>
        <r>
          <rPr>
            <sz val="9"/>
            <color indexed="81"/>
            <rFont val="Tahoma"/>
            <family val="2"/>
          </rPr>
          <t xml:space="preserve">
1st May
</t>
        </r>
      </text>
    </comment>
  </commentList>
</comments>
</file>

<file path=xl/sharedStrings.xml><?xml version="1.0" encoding="utf-8"?>
<sst xmlns="http://schemas.openxmlformats.org/spreadsheetml/2006/main" count="120" uniqueCount="92">
  <si>
    <t>Vendor</t>
  </si>
  <si>
    <t>Slab</t>
  </si>
  <si>
    <t>Flat Rate</t>
  </si>
  <si>
    <t>Charges included GST</t>
  </si>
  <si>
    <t>Commission</t>
  </si>
  <si>
    <t>Spay</t>
  </si>
  <si>
    <t>Flate Charges</t>
  </si>
  <si>
    <t>Easymudra DMT</t>
  </si>
  <si>
    <t>100-1000</t>
  </si>
  <si>
    <t>1001-5000</t>
  </si>
  <si>
    <t>1000-5000</t>
  </si>
  <si>
    <t>Easymudra Payout</t>
  </si>
  <si>
    <t>1001-25000</t>
  </si>
  <si>
    <t>Above 25001</t>
  </si>
  <si>
    <t>Easymudra Recharge</t>
  </si>
  <si>
    <t>100-2000</t>
  </si>
  <si>
    <t>1.44 as per cal.</t>
  </si>
  <si>
    <t>5001-25000</t>
  </si>
  <si>
    <t>2001-100000</t>
  </si>
  <si>
    <t>0.72 as per cal.</t>
  </si>
  <si>
    <t>Above 100001</t>
  </si>
  <si>
    <t>0.58 as per cal.</t>
  </si>
  <si>
    <t>Paysprit</t>
  </si>
  <si>
    <t>Instantpay Payout</t>
  </si>
  <si>
    <t>Without GST</t>
  </si>
  <si>
    <t>With GST</t>
  </si>
  <si>
    <t>Instantpay DMT</t>
  </si>
  <si>
    <t>Instantpay Credit Card</t>
  </si>
  <si>
    <t>Neft</t>
  </si>
  <si>
    <t>ALL</t>
  </si>
  <si>
    <t>Instantpay AEPS</t>
  </si>
  <si>
    <t>100-3000</t>
  </si>
  <si>
    <t>3000-10000</t>
  </si>
  <si>
    <t>Flat</t>
  </si>
  <si>
    <t>TRM CC-Payout</t>
  </si>
  <si>
    <t>Above25001</t>
  </si>
  <si>
    <t>TRM UTI</t>
  </si>
  <si>
    <t>Parthpayment 50-50 Payment</t>
  </si>
  <si>
    <t>BBPS Electricity</t>
  </si>
  <si>
    <t>TRM V2</t>
  </si>
  <si>
    <t>Tata Sky DTH</t>
  </si>
  <si>
    <t>AIRTEL DIGITAL TV / Dish TV /VIDEOCON D2H/ Sun Direct</t>
  </si>
  <si>
    <t>TRM New CC</t>
  </si>
  <si>
    <t>100-10000</t>
  </si>
  <si>
    <t>TRM New Payout</t>
  </si>
  <si>
    <t>Earthly</t>
  </si>
  <si>
    <t>100-999</t>
  </si>
  <si>
    <t>Comm. Flat @</t>
  </si>
  <si>
    <t>Commission structure offered for electricity bill payments From Earthly , applicable from July 26 to July 31, 2025:</t>
  </si>
  <si>
    <r>
      <t xml:space="preserve">1000 </t>
    </r>
    <r>
      <rPr>
        <b/>
        <sz val="11"/>
        <color rgb="FF7030A0"/>
        <rFont val="Aptos Narrow"/>
        <family val="2"/>
        <scheme val="minor"/>
      </rPr>
      <t>New Slab 100-2000</t>
    </r>
  </si>
  <si>
    <r>
      <t xml:space="preserve">1001-5000  </t>
    </r>
    <r>
      <rPr>
        <b/>
        <sz val="11"/>
        <color rgb="FF7030A0"/>
        <rFont val="Aptos Narrow"/>
        <family val="2"/>
        <scheme val="minor"/>
      </rPr>
      <t>New Slab 2001-10 K</t>
    </r>
  </si>
  <si>
    <t>For bills up to ₹10,000: No commission</t>
  </si>
  <si>
    <r>
      <t xml:space="preserve">5001-100000;  </t>
    </r>
    <r>
      <rPr>
        <b/>
        <sz val="11"/>
        <color rgb="FF7030A0"/>
        <rFont val="Aptos Narrow"/>
        <family val="2"/>
        <scheme val="minor"/>
      </rPr>
      <t xml:space="preserve"> New Slab 10K- 1 Lac</t>
    </r>
  </si>
  <si>
    <t>(To be paid through BBPS Online)</t>
  </si>
  <si>
    <t>Quickpay PG</t>
  </si>
  <si>
    <t>Cr Master Card</t>
  </si>
  <si>
    <t>For bills between ₹10,000 and ₹1,00,000: 0.55% commission</t>
  </si>
  <si>
    <t>Dr Master Card</t>
  </si>
  <si>
    <t>(Offline mode)</t>
  </si>
  <si>
    <t>Cr Rupay/Visa Card</t>
  </si>
  <si>
    <t>Dr Rupay/Visa Card</t>
  </si>
  <si>
    <t>For bills above ₹1,00,000: 0.40% commission</t>
  </si>
  <si>
    <t>Razorpay PG/QR</t>
  </si>
  <si>
    <t>Wallet (PG)</t>
  </si>
  <si>
    <t>UPI (PG)</t>
  </si>
  <si>
    <t>Rs.3</t>
  </si>
  <si>
    <t>Visa-Rupay Credit/Prepaid</t>
  </si>
  <si>
    <t xml:space="preserve">Visa-Rupay Corporate Credit Card </t>
  </si>
  <si>
    <t>Visa:-1.3</t>
  </si>
  <si>
    <t>Rupay:-1.95</t>
  </si>
  <si>
    <t>Visa-Rupay Debit Card (Above 2k)</t>
  </si>
  <si>
    <t>Visa-Rupay Debit Card (Below 2k)</t>
  </si>
  <si>
    <t>Visa-Rupay Debit Card (Interantional)</t>
  </si>
  <si>
    <t>Master Credit Card</t>
  </si>
  <si>
    <t xml:space="preserve">Master Corporate Credit Card </t>
  </si>
  <si>
    <t>TRM MATM</t>
  </si>
  <si>
    <t>Included TDS</t>
  </si>
  <si>
    <t>3001-10000</t>
  </si>
  <si>
    <t>Flat @11.76</t>
  </si>
  <si>
    <t>TRM AEPS</t>
  </si>
  <si>
    <t>100-500</t>
  </si>
  <si>
    <t>No Comm.</t>
  </si>
  <si>
    <t>501-3000</t>
  </si>
  <si>
    <t>Flat @11.16</t>
  </si>
  <si>
    <t>Esscrow-HDFC</t>
  </si>
  <si>
    <t>1000-25000</t>
  </si>
  <si>
    <t>ISU Cash Withdraw</t>
  </si>
  <si>
    <t>0-400</t>
  </si>
  <si>
    <t>401-3000</t>
  </si>
  <si>
    <t>Rs.14.25</t>
  </si>
  <si>
    <t>ISU Cash Deposit</t>
  </si>
  <si>
    <t>0-10000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</si>
</sst>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/>
    <xf numFmtId="10" fontId="0" fillId="0" borderId="1" xfId="0" applyNumberFormat="1" applyBorder="1"/>
    <xf numFmtId="9" fontId="0" fillId="0" borderId="1" xfId="0" applyNumberFormat="1" applyBorder="1"/>
    <xf numFmtId="16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ylor, Jan" id="{AF906150-E7B9-4FA2-B2B0-CB802847A189}" userId="S::JanTaylor@finiziaa.onmicrosoft.com::cf460a08-a5d9-4004-a837-da9322d6e44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8" dT="2025-07-08T01:53:27.12" personId="{AF906150-E7B9-4FA2-B2B0-CB802847A189}" id="{703D16A4-FAA8-4C6F-9DCE-2D0E1667BB9E}">
    <text>From 7th July</text>
  </threadedComment>
  <threadedComment ref="E39" dT="2025-07-09T08:19:34.33" personId="{AF906150-E7B9-4FA2-B2B0-CB802847A189}" id="{8841AF7A-21FA-4003-87B4-A7721161A40E}">
    <text>8th July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D10D-8A5F-4CFE-9839-F7AF6353B3EF}">
  <dimension ref="A2:L60"/>
  <sheetViews>
    <sheetView tabSelected="1" topLeftCell="A13" workbookViewId="0">
      <selection activeCell="D16" sqref="D16"/>
    </sheetView>
  </sheetViews>
  <sheetFormatPr defaultRowHeight="14.5" x14ac:dyDescent="0.35"/>
  <cols>
    <col min="1" max="1" width="21.81640625" bestFit="1" customWidth="1"/>
    <col min="2" max="2" width="34.81640625" bestFit="1" customWidth="1"/>
    <col min="3" max="3" width="14.54296875" customWidth="1"/>
    <col min="4" max="5" width="20.1796875" customWidth="1"/>
    <col min="6" max="6" width="9.81640625" bestFit="1" customWidth="1"/>
    <col min="7" max="7" width="17.453125" bestFit="1" customWidth="1"/>
    <col min="8" max="8" width="10.7265625" bestFit="1" customWidth="1"/>
    <col min="9" max="9" width="12.81640625" bestFit="1" customWidth="1"/>
    <col min="10" max="10" width="20.1796875" bestFit="1" customWidth="1"/>
  </cols>
  <sheetData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1</v>
      </c>
      <c r="I2" s="1" t="s">
        <v>6</v>
      </c>
      <c r="J2" s="1"/>
      <c r="K2" s="1"/>
      <c r="L2" s="1"/>
    </row>
    <row r="3" spans="1:12" x14ac:dyDescent="0.35">
      <c r="A3" s="2" t="s">
        <v>7</v>
      </c>
      <c r="B3" s="1" t="s">
        <v>8</v>
      </c>
      <c r="C3" s="1">
        <v>0</v>
      </c>
      <c r="D3" s="1">
        <v>12</v>
      </c>
      <c r="E3" s="1"/>
      <c r="F3" s="13"/>
      <c r="G3" s="2" t="s">
        <v>7</v>
      </c>
      <c r="H3" s="1" t="s">
        <v>8</v>
      </c>
      <c r="I3" s="1">
        <v>12</v>
      </c>
      <c r="J3" s="1"/>
      <c r="K3" s="1"/>
      <c r="L3" s="1"/>
    </row>
    <row r="4" spans="1:12" x14ac:dyDescent="0.35">
      <c r="A4" s="2"/>
      <c r="B4" s="1" t="s">
        <v>9</v>
      </c>
      <c r="C4" s="1">
        <v>2.85</v>
      </c>
      <c r="D4" s="1">
        <v>0</v>
      </c>
      <c r="E4" s="1"/>
      <c r="F4" s="1"/>
      <c r="G4" s="2"/>
      <c r="H4" s="1" t="s">
        <v>10</v>
      </c>
      <c r="I4" s="3">
        <v>1.2E-2</v>
      </c>
      <c r="J4" s="1"/>
      <c r="K4" s="1"/>
      <c r="L4" s="1"/>
    </row>
    <row r="5" spans="1:12" x14ac:dyDescent="0.35">
      <c r="A5" s="2" t="s">
        <v>11</v>
      </c>
      <c r="B5" s="1" t="s">
        <v>8</v>
      </c>
      <c r="C5" s="1">
        <v>0</v>
      </c>
      <c r="D5" s="1">
        <v>5.9</v>
      </c>
      <c r="E5" s="1">
        <v>0</v>
      </c>
      <c r="F5" s="1"/>
      <c r="G5" s="2" t="s">
        <v>11</v>
      </c>
      <c r="H5" s="1" t="s">
        <v>8</v>
      </c>
      <c r="I5" s="1">
        <v>6</v>
      </c>
      <c r="J5" s="1"/>
      <c r="K5" s="1"/>
      <c r="L5" s="1"/>
    </row>
    <row r="6" spans="1:12" x14ac:dyDescent="0.35">
      <c r="A6" s="2"/>
      <c r="B6" s="1" t="s">
        <v>12</v>
      </c>
      <c r="C6" s="1">
        <v>0</v>
      </c>
      <c r="D6" s="1">
        <v>7.67</v>
      </c>
      <c r="E6" s="1">
        <v>0</v>
      </c>
      <c r="F6" s="1"/>
      <c r="G6" s="2"/>
      <c r="H6" s="1" t="s">
        <v>9</v>
      </c>
      <c r="I6" s="3">
        <v>6.0000000000000001E-3</v>
      </c>
      <c r="J6" s="1"/>
      <c r="K6" s="1"/>
      <c r="L6" s="1"/>
    </row>
    <row r="7" spans="1:12" x14ac:dyDescent="0.35">
      <c r="A7" s="2"/>
      <c r="B7" s="1" t="s">
        <v>13</v>
      </c>
      <c r="C7" s="1">
        <v>0</v>
      </c>
      <c r="D7" s="1">
        <v>17.7</v>
      </c>
      <c r="E7" s="1">
        <v>0</v>
      </c>
      <c r="F7" s="1"/>
      <c r="G7" s="4"/>
      <c r="H7" s="1"/>
      <c r="I7" s="3"/>
      <c r="J7" s="1"/>
      <c r="K7" s="1"/>
      <c r="L7" s="1"/>
    </row>
    <row r="8" spans="1:12" x14ac:dyDescent="0.35">
      <c r="A8" s="2" t="s">
        <v>14</v>
      </c>
      <c r="B8" s="1" t="s">
        <v>15</v>
      </c>
      <c r="C8" s="1"/>
      <c r="D8" s="1" t="s">
        <v>16</v>
      </c>
      <c r="E8" s="1">
        <v>1.44</v>
      </c>
      <c r="F8" s="1"/>
      <c r="G8" s="1"/>
      <c r="H8" s="1" t="s">
        <v>17</v>
      </c>
      <c r="I8" s="3">
        <v>5.0000000000000001E-3</v>
      </c>
      <c r="J8" s="1"/>
      <c r="K8" s="1"/>
      <c r="L8" s="1"/>
    </row>
    <row r="9" spans="1:12" x14ac:dyDescent="0.35">
      <c r="A9" s="2"/>
      <c r="B9" s="1" t="s">
        <v>18</v>
      </c>
      <c r="C9" s="1"/>
      <c r="D9" s="1" t="s">
        <v>19</v>
      </c>
      <c r="E9" s="1">
        <v>0.8</v>
      </c>
      <c r="F9" s="1"/>
      <c r="G9" s="1"/>
      <c r="H9" s="1"/>
      <c r="I9" s="1"/>
      <c r="J9" s="1"/>
      <c r="K9" s="1"/>
      <c r="L9" s="1"/>
    </row>
    <row r="10" spans="1:12" x14ac:dyDescent="0.35">
      <c r="A10" s="2"/>
      <c r="B10" s="1" t="s">
        <v>20</v>
      </c>
      <c r="C10" s="1"/>
      <c r="D10" s="1" t="s">
        <v>21</v>
      </c>
      <c r="E10" s="1">
        <v>0.65</v>
      </c>
      <c r="F10" s="1"/>
      <c r="G10" s="1"/>
      <c r="H10" s="1"/>
      <c r="I10" s="1"/>
      <c r="J10" s="1"/>
      <c r="K10" s="1"/>
      <c r="L10" s="1"/>
    </row>
    <row r="11" spans="1:12" x14ac:dyDescent="0.35">
      <c r="A11" s="2" t="s">
        <v>22</v>
      </c>
      <c r="B11" s="1" t="s">
        <v>8</v>
      </c>
      <c r="C11" s="1">
        <v>0</v>
      </c>
      <c r="D11" s="1">
        <v>12</v>
      </c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2"/>
      <c r="B12" s="1" t="s">
        <v>9</v>
      </c>
      <c r="C12" s="1">
        <v>3.35</v>
      </c>
      <c r="D12" s="1">
        <v>0</v>
      </c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2" t="s">
        <v>23</v>
      </c>
      <c r="B13" s="1" t="s">
        <v>8</v>
      </c>
      <c r="C13" s="1"/>
      <c r="D13" s="1">
        <v>2.5</v>
      </c>
      <c r="E13" s="1" t="s">
        <v>24</v>
      </c>
      <c r="F13" s="1"/>
      <c r="G13" s="1"/>
      <c r="H13" s="1"/>
      <c r="I13" s="1"/>
      <c r="J13" s="1"/>
      <c r="K13" s="1"/>
      <c r="L13" s="1"/>
    </row>
    <row r="14" spans="1:12" x14ac:dyDescent="0.35">
      <c r="A14" s="2"/>
      <c r="B14" s="1" t="s">
        <v>12</v>
      </c>
      <c r="C14" s="1"/>
      <c r="D14" s="1">
        <v>3.5</v>
      </c>
      <c r="E14" s="1" t="s">
        <v>24</v>
      </c>
      <c r="F14" s="1"/>
      <c r="G14" s="1"/>
      <c r="H14" s="1"/>
      <c r="I14" s="1"/>
      <c r="J14" s="1"/>
      <c r="K14" s="1"/>
      <c r="L14" s="1"/>
    </row>
    <row r="15" spans="1:12" x14ac:dyDescent="0.35">
      <c r="A15" s="2"/>
      <c r="B15" s="1" t="s">
        <v>13</v>
      </c>
      <c r="C15" s="1">
        <v>7.5</v>
      </c>
      <c r="D15" s="1">
        <v>9.74</v>
      </c>
      <c r="E15" s="1" t="s">
        <v>25</v>
      </c>
      <c r="F15" s="1"/>
      <c r="G15" s="1"/>
      <c r="H15" s="1"/>
      <c r="I15" s="1"/>
      <c r="J15" s="1"/>
      <c r="K15" s="1"/>
      <c r="L15" s="1"/>
    </row>
    <row r="16" spans="1:12" x14ac:dyDescent="0.35">
      <c r="A16" s="2" t="s">
        <v>26</v>
      </c>
      <c r="B16" s="1" t="s">
        <v>8</v>
      </c>
      <c r="C16" s="1">
        <v>3.5</v>
      </c>
      <c r="D16" s="1">
        <v>10</v>
      </c>
      <c r="E16" s="5">
        <v>2</v>
      </c>
      <c r="F16" s="1"/>
      <c r="G16" s="1"/>
      <c r="H16" s="1">
        <v>120000</v>
      </c>
      <c r="I16" s="1">
        <v>911000</v>
      </c>
      <c r="J16" s="1">
        <f>900000*18%</f>
        <v>162000</v>
      </c>
      <c r="K16" s="1">
        <v>900000</v>
      </c>
      <c r="L16" s="1">
        <f>K16+J16</f>
        <v>1062000</v>
      </c>
    </row>
    <row r="17" spans="1:12" x14ac:dyDescent="0.35">
      <c r="A17" s="2"/>
      <c r="B17" s="1" t="s">
        <v>9</v>
      </c>
      <c r="C17" s="1">
        <v>3.5</v>
      </c>
      <c r="D17" s="1">
        <v>0</v>
      </c>
      <c r="E17" s="5">
        <v>2.5</v>
      </c>
      <c r="F17" s="1"/>
      <c r="G17" s="1"/>
      <c r="H17" s="1"/>
      <c r="I17" s="1">
        <v>1016949</v>
      </c>
      <c r="J17" s="1">
        <v>21330</v>
      </c>
      <c r="K17" s="1">
        <f>J17*18%</f>
        <v>3839.3999999999996</v>
      </c>
      <c r="L17" s="1">
        <f>J17+K17</f>
        <v>25169.4</v>
      </c>
    </row>
    <row r="18" spans="1:12" x14ac:dyDescent="0.35">
      <c r="A18" s="6" t="s">
        <v>27</v>
      </c>
      <c r="B18" s="1" t="s">
        <v>28</v>
      </c>
      <c r="C18" s="1">
        <v>4.72</v>
      </c>
      <c r="D18" s="1" t="s">
        <v>29</v>
      </c>
      <c r="E18" s="1">
        <v>11.8</v>
      </c>
      <c r="F18" s="1"/>
      <c r="G18" s="1"/>
      <c r="H18" s="1"/>
      <c r="I18" s="1">
        <f>I17-I16</f>
        <v>105949</v>
      </c>
      <c r="J18" s="1"/>
      <c r="K18" s="1"/>
      <c r="L18" s="1">
        <f>SUM(L16:L17)</f>
        <v>1087169.3999999999</v>
      </c>
    </row>
    <row r="19" spans="1:12" x14ac:dyDescent="0.35">
      <c r="A19" s="2" t="s">
        <v>30</v>
      </c>
      <c r="B19" s="1" t="s">
        <v>31</v>
      </c>
      <c r="C19" s="1"/>
      <c r="D19" s="1"/>
      <c r="E19" s="1">
        <v>0.45</v>
      </c>
      <c r="F19" s="1"/>
      <c r="G19" s="1"/>
      <c r="H19" s="1"/>
      <c r="I19" s="1"/>
      <c r="J19" s="1"/>
      <c r="K19" s="1"/>
      <c r="L19" s="1"/>
    </row>
    <row r="20" spans="1:12" x14ac:dyDescent="0.35">
      <c r="A20" s="2"/>
      <c r="B20" s="1" t="s">
        <v>32</v>
      </c>
      <c r="C20" s="1"/>
      <c r="D20" s="1" t="s">
        <v>33</v>
      </c>
      <c r="E20" s="1">
        <v>13.5</v>
      </c>
      <c r="F20" s="1"/>
      <c r="G20" s="1"/>
      <c r="H20" s="1"/>
      <c r="I20" s="1"/>
      <c r="J20" s="1"/>
      <c r="K20" s="1"/>
      <c r="L20" s="1"/>
    </row>
    <row r="21" spans="1:12" x14ac:dyDescent="0.35">
      <c r="A21" s="2" t="s">
        <v>34</v>
      </c>
      <c r="B21" s="1" t="s">
        <v>8</v>
      </c>
      <c r="C21" s="1">
        <v>3.25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2"/>
      <c r="B22" s="1" t="s">
        <v>12</v>
      </c>
      <c r="C22" s="1">
        <v>7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2"/>
      <c r="B23" s="1" t="s">
        <v>35</v>
      </c>
      <c r="C23" s="1">
        <v>11.8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2" t="s">
        <v>36</v>
      </c>
      <c r="B24" s="1" t="s">
        <v>37</v>
      </c>
      <c r="C24" s="1">
        <v>4.2300000000000004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2"/>
      <c r="B25" s="1" t="s">
        <v>38</v>
      </c>
      <c r="C25" s="1"/>
      <c r="D25" s="1"/>
      <c r="E25" s="1">
        <v>0.57999999999999996</v>
      </c>
      <c r="F25" s="1"/>
      <c r="G25" s="1"/>
      <c r="H25" s="1"/>
      <c r="I25" s="1"/>
      <c r="J25" s="1"/>
      <c r="K25" s="1"/>
      <c r="L25" s="1"/>
    </row>
    <row r="26" spans="1:12" x14ac:dyDescent="0.35">
      <c r="A26" s="2" t="s">
        <v>39</v>
      </c>
      <c r="B26" s="1" t="s">
        <v>40</v>
      </c>
      <c r="C26" s="1"/>
      <c r="D26" s="1"/>
      <c r="E26" s="1">
        <v>2.5</v>
      </c>
      <c r="F26" s="1"/>
      <c r="G26" s="1"/>
      <c r="H26" s="1"/>
      <c r="I26" s="1"/>
      <c r="J26" s="1"/>
      <c r="K26" s="1"/>
      <c r="L26" s="1"/>
    </row>
    <row r="27" spans="1:12" ht="29" x14ac:dyDescent="0.35">
      <c r="A27" s="2"/>
      <c r="B27" s="7" t="s">
        <v>41</v>
      </c>
      <c r="C27" s="1"/>
      <c r="D27" s="1"/>
      <c r="E27" s="1">
        <v>3.5</v>
      </c>
      <c r="F27" s="1"/>
      <c r="G27" s="1"/>
      <c r="H27" s="1"/>
      <c r="I27" s="1"/>
      <c r="J27" s="1"/>
      <c r="K27" s="1"/>
      <c r="L27" s="1"/>
    </row>
    <row r="28" spans="1:12" x14ac:dyDescent="0.35">
      <c r="A28" s="8" t="s">
        <v>42</v>
      </c>
      <c r="B28" s="1" t="s">
        <v>43</v>
      </c>
      <c r="C28" s="1"/>
      <c r="D28" s="1"/>
      <c r="E28" s="1">
        <v>7.08</v>
      </c>
      <c r="F28" s="1">
        <v>0.15</v>
      </c>
      <c r="G28" s="1"/>
      <c r="H28" s="1"/>
      <c r="I28" s="1"/>
      <c r="J28" s="1"/>
      <c r="K28" s="1"/>
      <c r="L28" s="1"/>
    </row>
    <row r="29" spans="1:12" x14ac:dyDescent="0.35">
      <c r="A29" s="2" t="s">
        <v>44</v>
      </c>
      <c r="B29" s="1" t="s">
        <v>8</v>
      </c>
      <c r="C29" s="1"/>
      <c r="D29" s="1"/>
      <c r="E29" s="1">
        <v>3.54</v>
      </c>
      <c r="F29" s="1"/>
      <c r="G29" s="1"/>
      <c r="H29" s="1"/>
      <c r="I29" s="1"/>
      <c r="J29" s="1"/>
      <c r="K29" s="1"/>
      <c r="L29" s="1"/>
    </row>
    <row r="30" spans="1:12" x14ac:dyDescent="0.35">
      <c r="A30" s="2"/>
      <c r="B30" s="1" t="s">
        <v>12</v>
      </c>
      <c r="C30" s="1"/>
      <c r="D30" s="1"/>
      <c r="E30" s="1">
        <v>7.08</v>
      </c>
      <c r="F30" s="1"/>
      <c r="G30" s="1"/>
      <c r="H30" s="1"/>
      <c r="I30" s="1"/>
      <c r="J30" s="1"/>
      <c r="K30" s="1"/>
      <c r="L30" s="1"/>
    </row>
    <row r="31" spans="1:12" x14ac:dyDescent="0.35">
      <c r="A31" s="2" t="s">
        <v>45</v>
      </c>
      <c r="B31" s="1" t="s">
        <v>46</v>
      </c>
      <c r="C31" s="1"/>
      <c r="D31" s="1" t="s">
        <v>47</v>
      </c>
      <c r="E31" s="1">
        <v>0.35</v>
      </c>
      <c r="F31" s="1" t="s">
        <v>48</v>
      </c>
      <c r="G31" s="1"/>
      <c r="H31" s="1"/>
      <c r="I31" s="1"/>
      <c r="J31" s="1"/>
      <c r="K31" s="1"/>
      <c r="L31" s="1"/>
    </row>
    <row r="32" spans="1:12" x14ac:dyDescent="0.35">
      <c r="A32" s="2"/>
      <c r="B32" s="9" t="s">
        <v>49</v>
      </c>
      <c r="C32" s="1"/>
      <c r="D32" s="1">
        <v>3</v>
      </c>
      <c r="E32" s="10">
        <v>1.5</v>
      </c>
      <c r="F32" s="1"/>
      <c r="G32" s="1"/>
      <c r="H32" s="1"/>
      <c r="I32" s="1"/>
      <c r="J32" s="1"/>
      <c r="K32" s="1"/>
      <c r="L32" s="1"/>
    </row>
    <row r="33" spans="1:12" x14ac:dyDescent="0.35">
      <c r="A33" s="2"/>
      <c r="B33" s="1" t="s">
        <v>50</v>
      </c>
      <c r="C33" s="1"/>
      <c r="D33" s="1">
        <v>0.7</v>
      </c>
      <c r="E33" s="10">
        <v>0.35</v>
      </c>
      <c r="F33" s="1" t="s">
        <v>51</v>
      </c>
      <c r="G33" s="1"/>
      <c r="H33" s="1"/>
      <c r="I33" s="1"/>
      <c r="J33" s="1"/>
      <c r="K33" s="1"/>
      <c r="L33" s="1"/>
    </row>
    <row r="34" spans="1:12" x14ac:dyDescent="0.35">
      <c r="A34" s="2"/>
      <c r="B34" s="1" t="s">
        <v>52</v>
      </c>
      <c r="C34" s="1"/>
      <c r="D34" s="1">
        <v>1.47</v>
      </c>
      <c r="E34" s="10">
        <v>0.55000000000000004</v>
      </c>
      <c r="F34" s="1" t="s">
        <v>53</v>
      </c>
      <c r="G34" s="1"/>
      <c r="H34" s="1"/>
      <c r="I34" s="1"/>
      <c r="J34" s="1"/>
      <c r="K34" s="1"/>
      <c r="L34" s="1"/>
    </row>
    <row r="35" spans="1:12" x14ac:dyDescent="0.35">
      <c r="A35" s="2"/>
      <c r="B35" s="1" t="s">
        <v>20</v>
      </c>
      <c r="C35" s="1"/>
      <c r="D35" s="1"/>
      <c r="E35" s="1">
        <v>0.45</v>
      </c>
      <c r="F35" s="1"/>
      <c r="G35" s="1"/>
      <c r="H35" s="1"/>
      <c r="I35" s="1"/>
      <c r="J35" s="1"/>
      <c r="K35" s="1"/>
      <c r="L35" s="1"/>
    </row>
    <row r="36" spans="1:12" x14ac:dyDescent="0.35">
      <c r="A36" s="2" t="s">
        <v>54</v>
      </c>
      <c r="B36" s="1" t="s">
        <v>55</v>
      </c>
      <c r="C36" s="11">
        <v>2.1499999999999998E-2</v>
      </c>
      <c r="D36" s="1"/>
      <c r="E36" s="1"/>
      <c r="F36" s="1" t="s">
        <v>56</v>
      </c>
      <c r="G36" s="1"/>
      <c r="H36" s="1"/>
      <c r="I36" s="1"/>
      <c r="J36" s="1"/>
      <c r="K36" s="1"/>
      <c r="L36" s="1"/>
    </row>
    <row r="37" spans="1:12" x14ac:dyDescent="0.35">
      <c r="A37" s="2"/>
      <c r="B37" s="1" t="s">
        <v>57</v>
      </c>
      <c r="C37" s="11">
        <v>9.4999999999999998E-3</v>
      </c>
      <c r="D37" s="1"/>
      <c r="E37" s="1"/>
      <c r="F37" s="1" t="s">
        <v>58</v>
      </c>
      <c r="G37" s="1"/>
      <c r="H37" s="1"/>
      <c r="I37" s="1"/>
      <c r="J37" s="1"/>
      <c r="K37" s="1"/>
      <c r="L37" s="1"/>
    </row>
    <row r="38" spans="1:12" x14ac:dyDescent="0.35">
      <c r="A38" s="2"/>
      <c r="B38" s="1" t="s">
        <v>59</v>
      </c>
      <c r="C38" s="12">
        <v>0.01</v>
      </c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2"/>
      <c r="B39" s="1" t="s">
        <v>60</v>
      </c>
      <c r="C39" s="3">
        <v>5.0000000000000001E-3</v>
      </c>
      <c r="D39" s="11">
        <v>9.4999999999999998E-3</v>
      </c>
      <c r="E39" s="1">
        <v>0.3</v>
      </c>
      <c r="F39" s="1" t="s">
        <v>61</v>
      </c>
      <c r="G39" s="1"/>
      <c r="H39" s="1"/>
      <c r="I39" s="1"/>
      <c r="J39" s="1"/>
      <c r="K39" s="1"/>
      <c r="L39" s="1"/>
    </row>
    <row r="40" spans="1:12" x14ac:dyDescent="0.35">
      <c r="A40" s="2" t="s">
        <v>62</v>
      </c>
      <c r="B40" s="1" t="s">
        <v>63</v>
      </c>
      <c r="C40" s="1">
        <v>1.65</v>
      </c>
      <c r="D40" s="1"/>
      <c r="E40" s="1"/>
      <c r="F40" s="1" t="s">
        <v>58</v>
      </c>
      <c r="G40" s="1"/>
      <c r="H40" s="1"/>
      <c r="I40" s="1"/>
      <c r="J40" s="1"/>
      <c r="K40" s="1"/>
      <c r="L40" s="1"/>
    </row>
    <row r="41" spans="1:12" x14ac:dyDescent="0.35">
      <c r="A41" s="2"/>
      <c r="B41" s="1" t="s">
        <v>64</v>
      </c>
      <c r="C41" s="1" t="s">
        <v>65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2"/>
      <c r="B42" s="1" t="s">
        <v>66</v>
      </c>
      <c r="C42" s="1">
        <v>0.87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2"/>
      <c r="B43" s="1" t="s">
        <v>67</v>
      </c>
      <c r="C43" s="1" t="s">
        <v>68</v>
      </c>
      <c r="D43" s="1" t="s">
        <v>69</v>
      </c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2"/>
      <c r="B44" s="1" t="s">
        <v>70</v>
      </c>
      <c r="C44" s="1">
        <v>0.8</v>
      </c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2"/>
      <c r="B45" s="1" t="s">
        <v>71</v>
      </c>
      <c r="C45" s="1">
        <v>0.45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2"/>
      <c r="B46" s="1" t="s">
        <v>72</v>
      </c>
      <c r="C46" s="12">
        <v>0.03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2"/>
      <c r="B47" s="1" t="s">
        <v>73</v>
      </c>
      <c r="C47" s="11">
        <v>1.95E-2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2"/>
      <c r="B48" s="1" t="s">
        <v>74</v>
      </c>
      <c r="C48" s="11">
        <v>2.35E-2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4" t="s">
        <v>75</v>
      </c>
      <c r="B49" s="1" t="s">
        <v>31</v>
      </c>
      <c r="C49" s="3">
        <v>4.0000000000000001E-3</v>
      </c>
      <c r="D49" s="1" t="s">
        <v>76</v>
      </c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4"/>
      <c r="B50" s="1" t="s">
        <v>77</v>
      </c>
      <c r="C50" s="1" t="s">
        <v>78</v>
      </c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4" t="s">
        <v>79</v>
      </c>
      <c r="B51" s="1" t="s">
        <v>80</v>
      </c>
      <c r="C51" s="1" t="s">
        <v>81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 s="14"/>
      <c r="B52" s="1" t="s">
        <v>82</v>
      </c>
      <c r="C52" s="11">
        <v>3.7000000000000002E-3</v>
      </c>
      <c r="D52" s="1" t="s">
        <v>76</v>
      </c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 s="14"/>
      <c r="B53" s="1" t="s">
        <v>77</v>
      </c>
      <c r="C53" s="1" t="s">
        <v>83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 s="2" t="s">
        <v>84</v>
      </c>
      <c r="B54" s="1" t="s">
        <v>46</v>
      </c>
      <c r="C54" s="1">
        <v>2.5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 s="2"/>
      <c r="B55" s="1" t="s">
        <v>85</v>
      </c>
      <c r="C55" s="1">
        <v>3.5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 s="2"/>
      <c r="B56" s="1" t="s">
        <v>13</v>
      </c>
      <c r="C56" s="1">
        <v>7.5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5">
      <c r="A57" s="14" t="s">
        <v>86</v>
      </c>
      <c r="B57" s="1" t="s">
        <v>87</v>
      </c>
      <c r="C57" s="1"/>
      <c r="D57" s="1"/>
      <c r="E57" s="1">
        <v>0</v>
      </c>
      <c r="F57" s="1"/>
      <c r="G57" s="1"/>
      <c r="H57" s="1"/>
      <c r="I57" s="1"/>
      <c r="J57" s="1"/>
      <c r="K57" s="1"/>
      <c r="L57" s="1"/>
    </row>
    <row r="58" spans="1:12" x14ac:dyDescent="0.35">
      <c r="A58" s="14"/>
      <c r="B58" s="1" t="s">
        <v>88</v>
      </c>
      <c r="C58" s="1"/>
      <c r="D58" s="1"/>
      <c r="E58" s="1">
        <v>0.47499999999999998</v>
      </c>
      <c r="F58" s="1"/>
      <c r="G58" s="1"/>
      <c r="H58" s="1"/>
      <c r="I58" s="1"/>
      <c r="J58" s="1"/>
      <c r="K58" s="1"/>
      <c r="L58" s="1"/>
    </row>
    <row r="59" spans="1:12" x14ac:dyDescent="0.35">
      <c r="A59" s="14"/>
      <c r="B59" s="1" t="s">
        <v>77</v>
      </c>
      <c r="C59" s="1"/>
      <c r="D59" s="1"/>
      <c r="E59" s="1" t="s">
        <v>89</v>
      </c>
      <c r="F59" s="1"/>
      <c r="G59" s="1"/>
      <c r="H59" s="1"/>
      <c r="I59" s="1"/>
      <c r="J59" s="1"/>
      <c r="K59" s="1"/>
      <c r="L59" s="1"/>
    </row>
    <row r="60" spans="1:12" x14ac:dyDescent="0.35">
      <c r="A60" s="8" t="s">
        <v>90</v>
      </c>
      <c r="B60" s="1" t="s">
        <v>91</v>
      </c>
      <c r="C60" s="1"/>
      <c r="D60" s="1"/>
      <c r="E60" s="1" t="s">
        <v>89</v>
      </c>
      <c r="F60" s="1"/>
      <c r="G60" s="1"/>
      <c r="H60" s="1"/>
      <c r="I60" s="1"/>
      <c r="J60" s="1"/>
      <c r="K60" s="1"/>
      <c r="L60" s="1"/>
    </row>
  </sheetData>
  <mergeCells count="20">
    <mergeCell ref="A54:A56"/>
    <mergeCell ref="A57:A59"/>
    <mergeCell ref="A29:A30"/>
    <mergeCell ref="A31:A35"/>
    <mergeCell ref="A36:A39"/>
    <mergeCell ref="A40:A48"/>
    <mergeCell ref="A49:A50"/>
    <mergeCell ref="A51:A53"/>
    <mergeCell ref="A13:A15"/>
    <mergeCell ref="A16:A17"/>
    <mergeCell ref="A19:A20"/>
    <mergeCell ref="A21:A23"/>
    <mergeCell ref="A24:A25"/>
    <mergeCell ref="A26:A27"/>
    <mergeCell ref="A3:A4"/>
    <mergeCell ref="G3:G4"/>
    <mergeCell ref="A5:A7"/>
    <mergeCell ref="G5:G6"/>
    <mergeCell ref="A8:A10"/>
    <mergeCell ref="A11:A1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License</dc:creator>
  <cp:lastModifiedBy>License</cp:lastModifiedBy>
  <dcterms:created xsi:type="dcterms:W3CDTF">2025-12-02T06:43:15Z</dcterms:created>
  <dcterms:modified xsi:type="dcterms:W3CDTF">2025-12-02T06:44:29Z</dcterms:modified>
</cp:coreProperties>
</file>